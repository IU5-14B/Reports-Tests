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orneev/Desktop/"/>
    </mc:Choice>
  </mc:AlternateContent>
  <xr:revisionPtr revIDLastSave="0" documentId="13_ncr:1_{A1B8BAD5-E054-304C-98F5-AC2ED80ABA5F}" xr6:coauthVersionLast="47" xr6:coauthVersionMax="47" xr10:uidLastSave="{00000000-0000-0000-0000-000000000000}"/>
  <bookViews>
    <workbookView xWindow="0" yWindow="660" windowWidth="30240" windowHeight="17200" xr2:uid="{00000000-000D-0000-FFFF-FFFF00000000}"/>
  </bookViews>
  <sheets>
    <sheet name="Оптимизация" sheetId="4" r:id="rId1"/>
    <sheet name="Лист1" sheetId="1" r:id="rId2"/>
  </sheets>
  <definedNames>
    <definedName name="solver_adj" localSheetId="1" hidden="1">Лист1!$C$11:$H$11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Лист1!$I$10</definedName>
    <definedName name="solver_lhs10" localSheetId="1" hidden="1">Лист1!$I$9</definedName>
    <definedName name="solver_lhs11" localSheetId="1" hidden="1">Лист1!$I$9</definedName>
    <definedName name="solver_lhs12" localSheetId="1" hidden="1">Лист1!$I$9</definedName>
    <definedName name="solver_lhs13" localSheetId="1" hidden="1">Лист1!$I$9</definedName>
    <definedName name="solver_lhs2" localSheetId="1" hidden="1">Лист1!$I$4</definedName>
    <definedName name="solver_lhs3" localSheetId="1" hidden="1">Лист1!$I$5</definedName>
    <definedName name="solver_lhs4" localSheetId="1" hidden="1">Лист1!$I$6</definedName>
    <definedName name="solver_lhs5" localSheetId="1" hidden="1">Лист1!$I$7</definedName>
    <definedName name="solver_lhs6" localSheetId="1" hidden="1">Лист1!$I$8</definedName>
    <definedName name="solver_lhs7" localSheetId="1" hidden="1">Лист1!$I$9</definedName>
    <definedName name="solver_lhs8" localSheetId="1" hidden="1">Лист1!$S$12</definedName>
    <definedName name="solver_lhs9" localSheetId="1" hidden="1">Лист1!$I$9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7</definedName>
    <definedName name="solver_nwt" localSheetId="1" hidden="1">1</definedName>
    <definedName name="solver_opt" localSheetId="1" hidden="1">Лист1!$I$3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10" localSheetId="1" hidden="1">1</definedName>
    <definedName name="solver_rel11" localSheetId="1" hidden="1">1</definedName>
    <definedName name="solver_rel12" localSheetId="1" hidden="1">1</definedName>
    <definedName name="solver_rel13" localSheetId="1" hidden="1">1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el6" localSheetId="1" hidden="1">1</definedName>
    <definedName name="solver_rel7" localSheetId="1" hidden="1">1</definedName>
    <definedName name="solver_rel8" localSheetId="1" hidden="1">1</definedName>
    <definedName name="solver_rel9" localSheetId="1" hidden="1">1</definedName>
    <definedName name="solver_rhs1" localSheetId="1" hidden="1">0</definedName>
    <definedName name="solver_rhs10" localSheetId="1" hidden="1">0</definedName>
    <definedName name="solver_rhs11" localSheetId="1" hidden="1">0</definedName>
    <definedName name="solver_rhs12" localSheetId="1" hidden="1">0</definedName>
    <definedName name="solver_rhs13" localSheetId="1" hidden="1">0</definedName>
    <definedName name="solver_rhs2" localSheetId="1" hidden="1">2000</definedName>
    <definedName name="solver_rhs3" localSheetId="1" hidden="1">2500</definedName>
    <definedName name="solver_rhs4" localSheetId="1" hidden="1">1200</definedName>
    <definedName name="solver_rhs5" localSheetId="1" hidden="1">0</definedName>
    <definedName name="solver_rhs6" localSheetId="1" hidden="1">0</definedName>
    <definedName name="solver_rhs7" localSheetId="1" hidden="1">0</definedName>
    <definedName name="solver_rhs8" localSheetId="1" hidden="1">2500</definedName>
    <definedName name="solver_rhs9" localSheetId="1" hidden="1">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4" l="1"/>
  <c r="B14" i="4"/>
  <c r="B13" i="4"/>
  <c r="B12" i="4"/>
  <c r="B11" i="4"/>
  <c r="C10" i="4"/>
  <c r="B10" i="4"/>
  <c r="B7" i="4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<sst xmlns="http://schemas.openxmlformats.org/spreadsheetml/2006/main" count="27" uniqueCount="23">
  <si>
    <t>x11</t>
  </si>
  <si>
    <t>x12</t>
  </si>
  <si>
    <t>x13</t>
  </si>
  <si>
    <t>x21</t>
  </si>
  <si>
    <t>x22</t>
  </si>
  <si>
    <t>x23</t>
  </si>
  <si>
    <t>Переменная</t>
  </si>
  <si>
    <t>Значение</t>
  </si>
  <si>
    <t>Коэффициент</t>
  </si>
  <si>
    <t>x</t>
  </si>
  <si>
    <t>y</t>
  </si>
  <si>
    <t>z</t>
  </si>
  <si>
    <t>Целевая функция</t>
  </si>
  <si>
    <t>Ограничения</t>
  </si>
  <si>
    <t>x + y + z</t>
  </si>
  <si>
    <t>x ≤ 1/3 y</t>
  </si>
  <si>
    <t>≤ 0</t>
  </si>
  <si>
    <t>z ≥ 0.25 (x+y)</t>
  </si>
  <si>
    <t>≥ 0</t>
  </si>
  <si>
    <t>x ≥ 0</t>
  </si>
  <si>
    <t>y ≥ 0</t>
  </si>
  <si>
    <t>z ≥ 0</t>
  </si>
  <si>
    <t>Максимизировать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</si>
</sst>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b/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tabSelected="1" zoomScale="200" workbookViewId="0">
      <selection activeCell="A16" sqref="A16"/>
    </sheetView>
  </sheetViews>
  <sheetFormatPr baseColWidth="10" defaultColWidth="8.83203125" defaultRowHeight="18" x14ac:dyDescent="0.2"/>
  <cols>
    <col min="1" max="1" width="20.1640625" style="3" bestFit="1" customWidth="1"/>
    <col min="2" max="2" width="11" style="3" bestFit="1" customWidth="1"/>
    <col min="3" max="3" width="15.83203125" style="3" bestFit="1" customWidth="1"/>
  </cols>
  <sheetData>
    <row r="1" spans="1:3" x14ac:dyDescent="0.2">
      <c r="A1" s="2" t="s">
        <v>6</v>
      </c>
      <c r="B1" s="2" t="s">
        <v>7</v>
      </c>
      <c r="C1" s="2" t="s">
        <v>8</v>
      </c>
    </row>
    <row r="2" spans="1:3" x14ac:dyDescent="0.2">
      <c r="A2" s="3" t="s">
        <v>9</v>
      </c>
      <c r="B2" s="4">
        <v>20</v>
      </c>
      <c r="C2" s="4">
        <v>0.1</v>
      </c>
    </row>
    <row r="3" spans="1:3" x14ac:dyDescent="0.2">
      <c r="A3" s="3" t="s">
        <v>10</v>
      </c>
      <c r="B3" s="4">
        <v>60</v>
      </c>
      <c r="C3" s="4">
        <v>7.0000000000000007E-2</v>
      </c>
    </row>
    <row r="4" spans="1:3" x14ac:dyDescent="0.2">
      <c r="A4" s="3" t="s">
        <v>11</v>
      </c>
      <c r="B4" s="4">
        <v>20</v>
      </c>
      <c r="C4" s="4">
        <v>0.03</v>
      </c>
    </row>
    <row r="6" spans="1:3" x14ac:dyDescent="0.2">
      <c r="A6" s="2" t="s">
        <v>12</v>
      </c>
      <c r="B6" s="2" t="s">
        <v>7</v>
      </c>
    </row>
    <row r="7" spans="1:3" x14ac:dyDescent="0.2">
      <c r="A7" s="3" t="s">
        <v>22</v>
      </c>
      <c r="B7" s="4">
        <f>B2*C2 + B3*C3 + B4*C4</f>
        <v>6.8</v>
      </c>
    </row>
    <row r="9" spans="1:3" x14ac:dyDescent="0.2">
      <c r="A9" s="2" t="s">
        <v>13</v>
      </c>
    </row>
    <row r="10" spans="1:3" ht="19" x14ac:dyDescent="0.2">
      <c r="A10" s="5" t="s">
        <v>14</v>
      </c>
      <c r="B10" s="4">
        <f>B2+B3+B4</f>
        <v>100</v>
      </c>
      <c r="C10" s="3">
        <f>100</f>
        <v>100</v>
      </c>
    </row>
    <row r="11" spans="1:3" ht="19" x14ac:dyDescent="0.2">
      <c r="A11" s="5" t="s">
        <v>15</v>
      </c>
      <c r="B11" s="4">
        <f>B2 - (1/3)*B3</f>
        <v>0</v>
      </c>
      <c r="C11" s="3" t="s">
        <v>16</v>
      </c>
    </row>
    <row r="12" spans="1:3" ht="19" x14ac:dyDescent="0.2">
      <c r="A12" s="5" t="s">
        <v>17</v>
      </c>
      <c r="B12" s="4">
        <f>B4 - 0.25*(B2+B3)</f>
        <v>0</v>
      </c>
      <c r="C12" s="3" t="s">
        <v>18</v>
      </c>
    </row>
    <row r="13" spans="1:3" ht="19" x14ac:dyDescent="0.2">
      <c r="A13" s="5" t="s">
        <v>19</v>
      </c>
      <c r="B13" s="4">
        <f>B2</f>
        <v>20</v>
      </c>
      <c r="C13" s="3" t="s">
        <v>18</v>
      </c>
    </row>
    <row r="14" spans="1:3" ht="19" x14ac:dyDescent="0.2">
      <c r="A14" s="5" t="s">
        <v>20</v>
      </c>
      <c r="B14" s="4">
        <f>B3</f>
        <v>60</v>
      </c>
      <c r="C14" s="3" t="s">
        <v>18</v>
      </c>
    </row>
    <row r="15" spans="1:3" ht="19" x14ac:dyDescent="0.2">
      <c r="A15" s="5" t="s">
        <v>21</v>
      </c>
      <c r="B15" s="4">
        <f>B4</f>
        <v>20</v>
      </c>
      <c r="C15" s="3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S12"/>
  <sheetViews>
    <sheetView zoomScale="191" workbookViewId="0">
      <selection activeCell="C3" sqref="C3:I12"/>
    </sheetView>
  </sheetViews>
  <sheetFormatPr baseColWidth="10" defaultColWidth="8.83203125" defaultRowHeight="15" x14ac:dyDescent="0.2"/>
  <sheetData>
    <row r="3" spans="3:19" x14ac:dyDescent="0.2">
      <c r="C3">
        <v>-2</v>
      </c>
      <c r="D3">
        <v>18</v>
      </c>
      <c r="E3">
        <v>28</v>
      </c>
      <c r="F3">
        <v>-13</v>
      </c>
      <c r="G3">
        <v>7</v>
      </c>
      <c r="H3">
        <v>17</v>
      </c>
      <c r="I3">
        <f>C3*C11+D3*D11+E3*E11+F3*F11+G3*G11+H3*H11</f>
        <v>39888.888888888891</v>
      </c>
    </row>
    <row r="4" spans="3:19" x14ac:dyDescent="0.2"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f>C4*C11+1*F11</f>
        <v>1999.9999999999998</v>
      </c>
    </row>
    <row r="5" spans="3:19" x14ac:dyDescent="0.2">
      <c r="C5">
        <v>0</v>
      </c>
      <c r="D5">
        <v>1</v>
      </c>
      <c r="E5">
        <v>0</v>
      </c>
      <c r="F5">
        <v>0</v>
      </c>
      <c r="G5">
        <v>1</v>
      </c>
      <c r="H5">
        <v>0</v>
      </c>
      <c r="I5">
        <f>D11+G11</f>
        <v>2500</v>
      </c>
    </row>
    <row r="6" spans="3:19" x14ac:dyDescent="0.2"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>
        <f>E11+H11</f>
        <v>1200</v>
      </c>
    </row>
    <row r="7" spans="3:19" x14ac:dyDescent="0.2">
      <c r="C7">
        <v>-0.4</v>
      </c>
      <c r="D7">
        <v>0.6</v>
      </c>
      <c r="E7">
        <v>0.6</v>
      </c>
      <c r="F7">
        <v>0</v>
      </c>
      <c r="G7">
        <v>0</v>
      </c>
      <c r="H7">
        <v>0</v>
      </c>
      <c r="I7">
        <f>C7*C11+D7*D11+E7*E11</f>
        <v>4.2283636503270827E-7</v>
      </c>
    </row>
    <row r="8" spans="3:19" x14ac:dyDescent="0.2">
      <c r="C8">
        <v>-0.2</v>
      </c>
      <c r="D8">
        <v>-0.2</v>
      </c>
      <c r="E8">
        <v>0.8</v>
      </c>
      <c r="F8">
        <v>0</v>
      </c>
      <c r="G8">
        <v>0</v>
      </c>
      <c r="H8">
        <v>0</v>
      </c>
      <c r="I8">
        <f>C8*C11+D8*D11+E8*E11</f>
        <v>-508.8888888888888</v>
      </c>
    </row>
    <row r="9" spans="3:19" x14ac:dyDescent="0.2">
      <c r="C9">
        <v>0</v>
      </c>
      <c r="D9">
        <v>0</v>
      </c>
      <c r="E9">
        <v>0</v>
      </c>
      <c r="F9">
        <v>-0.6</v>
      </c>
      <c r="G9">
        <v>-0.6</v>
      </c>
      <c r="H9">
        <v>0.4</v>
      </c>
      <c r="I9">
        <f>F9*F11+G9*G11+H9*H11</f>
        <v>-693.33333333333348</v>
      </c>
    </row>
    <row r="10" spans="3:19" x14ac:dyDescent="0.2">
      <c r="C10">
        <v>0</v>
      </c>
      <c r="D10">
        <v>0</v>
      </c>
      <c r="E10">
        <v>0</v>
      </c>
      <c r="F10">
        <v>-0.85</v>
      </c>
      <c r="G10">
        <v>0.15</v>
      </c>
      <c r="H10">
        <v>0.15</v>
      </c>
      <c r="I10">
        <f>F10*F11+G10*G11+H10*H11</f>
        <v>-4.228363934544177E-7</v>
      </c>
    </row>
    <row r="11" spans="3:19" x14ac:dyDescent="0.2">
      <c r="C11" s="1">
        <v>1526.6666662438299</v>
      </c>
      <c r="D11" s="1">
        <v>1017.777778200614</v>
      </c>
      <c r="E11" s="1">
        <v>0</v>
      </c>
      <c r="F11" s="1">
        <v>473.33333375616979</v>
      </c>
      <c r="G11" s="1">
        <v>1482.222221799386</v>
      </c>
      <c r="H11" s="1">
        <v>1200</v>
      </c>
    </row>
    <row r="12" spans="3:19" x14ac:dyDescent="0.2">
      <c r="C12" t="s">
        <v>0</v>
      </c>
      <c r="D12" t="s">
        <v>1</v>
      </c>
      <c r="E12" t="s">
        <v>2</v>
      </c>
      <c r="F12" t="s">
        <v>3</v>
      </c>
      <c r="G12" t="s">
        <v>4</v>
      </c>
      <c r="H12" t="s">
        <v>5</v>
      </c>
      <c r="S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Оптимизация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Office</cp:lastModifiedBy>
  <dcterms:created xsi:type="dcterms:W3CDTF">2023-03-30T18:32:09Z</dcterms:created>
  <dcterms:modified xsi:type="dcterms:W3CDTF">2025-12-22T16:32:12Z</dcterms:modified>
</cp:coreProperties>
</file>